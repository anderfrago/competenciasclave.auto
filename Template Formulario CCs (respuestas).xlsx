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Perfiles_CC" sheetId="2" r:id="rId6"/>
    <sheet state="hidden" name="NVScriptsProperties" sheetId="3" r:id="rId7"/>
    <sheet state="hidden" name="DO NOT DELETE - AutoCrat Job Se" sheetId="4" r:id="rId8"/>
  </sheets>
  <definedNames/>
  <calcPr/>
</workbook>
</file>

<file path=xl/sharedStrings.xml><?xml version="1.0" encoding="utf-8"?>
<sst xmlns="http://schemas.openxmlformats.org/spreadsheetml/2006/main" count="234" uniqueCount="193">
  <si>
    <t>Job ID</t>
  </si>
  <si>
    <t>autocratn</t>
  </si>
  <si>
    <t>CC</t>
  </si>
  <si>
    <t>Job Name</t>
  </si>
  <si>
    <t>Template ID</t>
  </si>
  <si>
    <t>Nivel</t>
  </si>
  <si>
    <t>Data Sheet ID</t>
  </si>
  <si>
    <t>Texto</t>
  </si>
  <si>
    <t>Header Row</t>
  </si>
  <si>
    <t>autocratp</t>
  </si>
  <si>
    <t>First Data Row</t>
  </si>
  <si>
    <t>Clave</t>
  </si>
  <si>
    <t>File Name</t>
  </si>
  <si>
    <t>File Type</t>
  </si>
  <si>
    <t>Autonomía</t>
  </si>
  <si>
    <t>dataSheetName</t>
  </si>
  <si>
    <t>Share As</t>
  </si>
  <si>
    <t>Incipiente</t>
  </si>
  <si>
    <t>Folders</t>
  </si>
  <si>
    <t>"Respuestas de formulario 1"</t>
  </si>
  <si>
    <t>Todavía necesitas apoyo externo para organizar tu trabajo y gestionar tiempos. Recuerda que la autonomía implica planificar y tomar decisiones por ti mismo/a. Pide al profesor ayuda para priorizar tareas y divide las actividades en pasos pequeños.</t>
  </si>
  <si>
    <t>Dynamic Folder Reference</t>
  </si>
  <si>
    <t>v</t>
  </si>
  <si>
    <t>Conditionals</t>
  </si>
  <si>
    <t>"5.1"</t>
  </si>
  <si>
    <t>Mode</t>
  </si>
  <si>
    <t>Append Breaks</t>
  </si>
  <si>
    <t>activeMergeId</t>
  </si>
  <si>
    <t>Tags</t>
  </si>
  <si>
    <t>""</t>
  </si>
  <si>
    <t>Run On Time Trigger</t>
  </si>
  <si>
    <t>dataSheetId</t>
  </si>
  <si>
    <t>Time Trigger Frequency</t>
  </si>
  <si>
    <t>"7.11724248E8"</t>
  </si>
  <si>
    <t>updateTime</t>
  </si>
  <si>
    <t>Run On Form Trigger</t>
  </si>
  <si>
    <t>"1.777449236684E12"</t>
  </si>
  <si>
    <t>Send Email And Share</t>
  </si>
  <si>
    <t>vp</t>
  </si>
  <si>
    <t>Email To</t>
  </si>
  <si>
    <t>Email CC</t>
  </si>
  <si>
    <t>Email BCC</t>
  </si>
  <si>
    <t>ssId</t>
  </si>
  <si>
    <t>"1Ih3AYKgWqOlbXE8KB3IfrGzCYttU1GcSAdIFBkBSAPM"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</si>
  <si>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</si>
  <si>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</si>
  <si>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</si>
  <si>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</si>
  <si>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</si>
  <si>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</si>
  <si>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</si>
  <si>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_1758282457952</t>
  </si>
  <si>
    <t>Autoperfil Job</t>
  </si>
  <si>
    <t>1a5ixYVTsiNsyMtPVUmLsnKSBMGVhm6y1ID6OIopC4Tk</t>
  </si>
  <si>
    <t>Perfil Salida CC</t>
  </si>
  <si>
    <t>PDF</t>
  </si>
  <si>
    <t>["1NXKkoslro6wBC04cSLF9DeI-0OSiwP1v"]</t>
  </si>
  <si>
    <t>[]</t>
  </si>
  <si>
    <t>[{"headerMap":"Dirección de correo electrónico","value":"NOT NULL"}]</t>
  </si>
  <si>
    <t>MULTIPLE_OUTPUT</t>
  </si>
  <si>
    <t>[{"tag":"Feedback_Autonomía","type":"STANDARD","details":{"isUnmapped":false,"headerMap":"Txt Autonomía"}},{"tag":"Feedback_Adaptación al entorno","type":"STANDARD","details":{"isUnmapped":false,"headerMap":"Txt Adaptación al entorno"}},{"tag":"Feedback_Competencia digital","type":"STANDARD","details":{"isUnmapped":false,"headerMap":"Txt Competencia digital"}},{"tag":"Feedback_Emprendimiento / Innovación","type":"STANDARD","details":{"isUnmapped":false,"headerMap":"Txt Emprendimiento / Innovación"}},{"tag":"Feedback_Comunicación","type":"STANDARD","details":{"isUnmapped":false,"headerMap":"Txt Comunicación"}},{"tag":"Feedback_Responsabilidad","type":"STANDARD","details":{"isUnmapped":false,"headerMap":"Txt Responsabilidad"}},{"tag":"Feedback_Trabajo en equipo","type":"STANDARD","details":{"isUnmapped":false,"headerMap":"Txt Trabajo en equipo"}}]</t>
  </si>
  <si>
    <t>&lt;&lt;Dirección de correo electrónico&gt;&gt;</t>
  </si>
  <si>
    <t>Perfil de CCs Autogenerado</t>
  </si>
  <si>
    <t>&lt;&lt;Closing&gt;&gt;</t>
  </si>
  <si>
    <t>2026-08-30T04:38:15.675Z</t>
  </si>
  <si>
    <t>2025-09-21T12:04:08.749Z</t>
  </si>
  <si>
    <t>En desarrollo</t>
  </si>
  <si>
    <t>Vas mejorando en trabajar solo/a y decidir. Refuerza planificación y gestión del tiempo: usa una lista diaria, estima tiempos y revisa tu avance al final del día.</t>
  </si>
  <si>
    <t>Consolidado</t>
  </si>
  <si>
    <t>Gestionas bien tu tiempo y tomas decisiones con criterio. Súmate a proyectos más complejos y comparte tu forma de organizarte con tus compañeros.</t>
  </si>
  <si>
    <t>Adaptación al entorno</t>
  </si>
  <si>
    <t>Te cuesta adaptarte a cambios o situaciones nuevas. Observa estrategias positivas de otros, pregunta cuando algo no esté claro y practica respuestas alternativas antes de actuar.</t>
  </si>
  <si>
    <t>Sueles adaptarte; trabaja mantener la calma ante lo imprevisto y piensa dos o tres opciones posibles antes de decidir.</t>
  </si>
  <si>
    <t>Te adaptas con facilidad y actitud positiva. Da un paso más: lidera en momentos de cambio y apoya a quienes lo necesiten.</t>
  </si>
  <si>
    <t>Competencia digital</t>
  </si>
  <si>
    <t>Te falta seguridad con herramientas digitales. Reserva 30’ semanales para explorar una herramienta nueva y realiza una mini-tarea guiada. Pide ejemplos de buena práctica.</t>
  </si>
  <si>
    <t>Dominas varias herramientas y empiezas a investigar otras. Refuerza el criterio de fuentes y cuida la calidad estética/estructura de tus entregas.</t>
  </si>
  <si>
    <t>Usas herramientas con solvencia, investigas por tu cuenta y aplicas criterio crítico. Mantén el ritmo y ofrece apoyo puntual a tus compañeros.</t>
  </si>
  <si>
    <t>Comunicación</t>
  </si>
  <si>
    <t>A veces interrumpes o cuesta expresar ideas con claridad. Practica turnos de palabra, escucha activa y revisa ortografía en tus textos.</t>
  </si>
  <si>
    <t>Te comunicas bien en general; mejora la comunicación no verbal y la síntesis. Ensaya presentaciones breves (1–3 min) y pide feedback.</t>
  </si>
  <si>
    <t>Comunicación clara y adaptada al contexto. Busca más ocasiones para hablar en público y afina tu lenguaje no verbal.</t>
  </si>
  <si>
    <t>Emprendimiento / Innovación</t>
  </si>
  <si>
    <t>Sueles esperar instrucciones y aportas pocas ideas nuevas. Proponte añadir una pequeña mejora en cada trabajo y anótala.</t>
  </si>
  <si>
    <t>Muestras iniciativa a veces y propones alternativas. Asume pequeños riesgos controlados y mide resultados para aprender.</t>
  </si>
  <si>
    <t>Generas ideas y das el paso para ejecutarlas. Lidera mini-proyectos, motiva al equipo y transforma ideas en resultados.</t>
  </si>
  <si>
    <t>Responsabilidad</t>
  </si>
  <si>
    <t>Hay fallos de puntualidad o de entrega. Usa recordatorios, planifica entregas y presenta aunque sea un borrador en fecha.</t>
  </si>
  <si>
    <t>Eres responsable en general; refuerza constancia y puntualidad. Revisa pendientes al final del día y comunica incidencias con antelación.</t>
  </si>
  <si>
    <t>Cumples plazos y compromisos y asumes consecuencias con madurez. Mantén el ejemplo y ayuda al equipo a organizarse.</t>
  </si>
  <si>
    <t>Trabajo en equipo</t>
  </si>
  <si>
    <t>Cuesta integrarse o asumir rol. Escucha más, comparte dudas y ofrece ayuda al terminar tu parte.</t>
  </si>
  <si>
    <t>Participas y aportas; mejora coordinación y aceptación de decisiones comunes. Usa acuerdos claros (qué, quién, cuándo).</t>
  </si>
  <si>
    <t>Colaboras, motivas y cumples tu rol. Coordina tareas, da seguimiento y cuida el clima del equipo.</t>
  </si>
  <si>
    <t>Marca temporal</t>
  </si>
  <si>
    <t>Dirección de correo electrónico</t>
  </si>
  <si>
    <t>Demuestro capacidad para hacer las cosas por mí mismo</t>
  </si>
  <si>
    <t>Gestiono el tiempo de manera excelente, demostrando eficiencia y una planificación avanzada</t>
  </si>
  <si>
    <t>Realizo mis tareas sin la ayuda de nadie</t>
  </si>
  <si>
    <t>Soy capaz de establecer objetivos para realizar cualquier tarea</t>
  </si>
  <si>
    <t>Pongo en marcha acciones sin que nadie me diga nada</t>
  </si>
  <si>
    <t>Soy capaz de analizar las diferentes situaciones y actuar de forma correcta sin necesidad de ayuda</t>
  </si>
  <si>
    <t>Soy capaz de ajustarme a diferentes contextos y situaciones</t>
  </si>
  <si>
    <t>Demuestro gran flexibilidad ante los cambios, normas, equipos, herramientas...</t>
  </si>
  <si>
    <t>Reacciono de formas positiva a los cambios o imprevistos, demostrando un temperamento admirable</t>
  </si>
  <si>
    <t>Ante lo desconocido mantengo la calma, analizo la situación y ajusto mi comportamientos y mis acciones en base a lo que necesite cada situación</t>
  </si>
  <si>
    <t>Soy capaz de adaptarme a los cambios de forma inmediata, mostrando agilidad y disposición al cambio</t>
  </si>
  <si>
    <t>Soy capaz de aplicar lo aprendido en cualquier contexto (examen, presentación, documento, proyecto, empresa...)</t>
  </si>
  <si>
    <t>Las herramientas que conozco o me han enseñado soy capaz de manejarlas de una manera excelente (Word, Excel, power point, contasol, Factusol, canva…)</t>
  </si>
  <si>
    <t>Investigo sobre nuevas aplicaciones para saber cómo utilizarlas</t>
  </si>
  <si>
    <t>Utilizo correctamente las TICs para resolver los problemas (presentaciones, investigación, trabajo cooperativo, realización de documentos, ejercicios…), generando contenido digitales de gran calidad</t>
  </si>
  <si>
    <t>Soy capaz de valorar, de forma crítica, la idoneidad de determinadas herramientas para alcanzar un resultado óptimo</t>
  </si>
  <si>
    <t>Elijo cuidadosamente y con criterio los términos de búsqueda y las fuentes de búsqueda para obtener información relevante, más completa y selectiva (webs, artículos, libros, investigaciones, sitios webs, referencias bibliográficas de otros autores, IA…)</t>
  </si>
  <si>
    <t>Soy capaz de trabajar en entornos digitales colaborativos con otras personas de manera óptima</t>
  </si>
  <si>
    <t>Respeto la propiedad intelectual y los derechos de autor</t>
  </si>
  <si>
    <t>Adapto mi lenguaje verbal y no verbal (tono, gestos) al contexto (formal, informal, profesional…) y a las personas (amigos, compañeros, profesorado, empresa...)</t>
  </si>
  <si>
    <t>Respeto el turno de palabra dejando hablar al resto</t>
  </si>
  <si>
    <t>Interrumpo cuando otra persona habla</t>
  </si>
  <si>
    <t>Levanto la mano para hablar</t>
  </si>
  <si>
    <t>Intervengo sólo cuando me corresponde</t>
  </si>
  <si>
    <t>Utilizo un vocabulario adecuado al contexto, situación y personas</t>
  </si>
  <si>
    <t>Cuando hablo, aunque no lo haga queriendo, ataco con la palabra, la mirada, los gestos o lo que sea</t>
  </si>
  <si>
    <t>Aplico la escucha activa</t>
  </si>
  <si>
    <t>Tengo empatía con todas las personas</t>
  </si>
  <si>
    <t>Expongo argumentos, pensamientos, opiniones o sentimientos de manera asertiva</t>
  </si>
  <si>
    <t>Realizo presentaciones en público excelentes, tanto en mi comunicación verbal como no verbal (mirada, postura, gestos, voz…)</t>
  </si>
  <si>
    <t>Mi comunicación no verbal durante el día a día es excelente en todos los ámbitos (manera de sentarme, de expresarme, gestos…)</t>
  </si>
  <si>
    <t>Escribo sin faltas de ortografía o gramática</t>
  </si>
  <si>
    <t>Demuestro capacidad de síntesis, tanto de forma oral como escrita</t>
  </si>
  <si>
    <t>Utilizo una escritura clara, precisa y organizada que hace que se entienda lo que escribo</t>
  </si>
  <si>
    <t>Comprendo lo que se me pide oralmente</t>
  </si>
  <si>
    <t>Comprende lo que leo</t>
  </si>
  <si>
    <t>Me enfado cuando me dicen algo que no me gusta o que va en contra de mi pensamiento</t>
  </si>
  <si>
    <t>Demuestro iniciativa, yendo más allá de lo que se espera de mí</t>
  </si>
  <si>
    <t>En caso de que el profe/la profe pregunte algo, respondo de forma voluntaria</t>
  </si>
  <si>
    <t>Si hay que salir a hacer algo, soy la primera en hacerlo sin que nadie me diga nada</t>
  </si>
  <si>
    <t>Conozco los riesgos de llevar a cabo alguna acción</t>
  </si>
  <si>
    <t>Lleva a cabo/realizo soluciones para acabar algo (trabajo, prueba, proyecto…)</t>
  </si>
  <si>
    <t>Soy capaz de identificar oportunidades donde emprender</t>
  </si>
  <si>
    <t>Pienso, desarrollo/planteo y ejecuto planes de actuación de manera eficaz</t>
  </si>
  <si>
    <t>Propongo ideas nuevas o mejoras en lo que se está haciendo (trabajos, proyectos, ejercicios, clases…)</t>
  </si>
  <si>
    <t>Demuestro una generación de ideas nuevas/originales constante</t>
  </si>
  <si>
    <t>Resuelvo los problemas/retos/proyectos…de una manera nueva/original</t>
  </si>
  <si>
    <t>Aporto soluciones nuevas y creativas, elevando la calidad del trabajo, ya sea en equipo o individual</t>
  </si>
  <si>
    <t>Cumplo con las normas establecidas</t>
  </si>
  <si>
    <t>No tengo apercibimientos, CCC, CGP, pérdidas de evaluación…</t>
  </si>
  <si>
    <t>No tengo faltas injustificadas ya que, cuando falto, aviso con antelación y traigo el justificante al momento</t>
  </si>
  <si>
    <t>Soy puntual, tanto en las entregas como en llegar a los sitios</t>
  </si>
  <si>
    <t>En caso de no poder cumplir con mis compromisos doy las explicaciones pertinentes en tiempo y forma</t>
  </si>
  <si>
    <t>Hago lo que me he comprometido a hacer</t>
  </si>
  <si>
    <t>Asumo las consecuencias de mis actos de buenas formas, mostrando madurez</t>
  </si>
  <si>
    <t>Si me equivoco, lo reconozco y actúo para corregir el error en lugar de esconderme o echar la culpa a otras personas</t>
  </si>
  <si>
    <t>Busco mejorar en lugar de evadir responsabilidades</t>
  </si>
  <si>
    <t>Soy capaz de establecer rutinas de estudio, gestionar mi tiempo y resistirme a las distracciones para lograr mis objetivos</t>
  </si>
  <si>
    <t>Cuando termino mi trabajo, ofrezco mi ayuda al resto del equipo</t>
  </si>
  <si>
    <t>Me comunico de manera asertiva, facilitando un diálogo abierto, comprensible y cómodo</t>
  </si>
  <si>
    <t>Soy capaz de organizar el trabajo en equipo</t>
  </si>
  <si>
    <t>Soy capaz de coordinar a todas las personas del equipo</t>
  </si>
  <si>
    <t>Comparto opiniones con el resto de mi equipo</t>
  </si>
  <si>
    <t>Pregunto al resto si tienen dudas</t>
  </si>
  <si>
    <t>Pregunto al equipo cuando tengo dudas</t>
  </si>
  <si>
    <t>Escucho activamente al resto</t>
  </si>
  <si>
    <t>Superviso el desarrollo del trabajo de cada persona</t>
  </si>
  <si>
    <t>Asumo el liderazgo</t>
  </si>
  <si>
    <t>Motivo al resto cuando no tienen ganas o motivación por algo</t>
  </si>
  <si>
    <t>Apoyo al resto</t>
  </si>
  <si>
    <t>Tengo una actitud activa</t>
  </si>
  <si>
    <t>Tengo una actitud positiva</t>
  </si>
  <si>
    <t>Soy una persona conflictiva</t>
  </si>
  <si>
    <t>En caso de conflicto, busco y aporto soluciones al equipo</t>
  </si>
  <si>
    <t>Soy capaz de proponer las tareas que hay que realizar antes que nadie</t>
  </si>
  <si>
    <t>Acepto el papel/rol/tarea que me haya tocado</t>
  </si>
  <si>
    <t>Me comprometo con lo que el equipo decide</t>
  </si>
  <si>
    <t>Cumplo con el papel/rol/tarea que me haya tocado</t>
  </si>
  <si>
    <t>Trato de mantener la unión del equipo</t>
  </si>
  <si>
    <t>T.N. Autonomía</t>
  </si>
  <si>
    <t>T.N. Adaptación al entorno</t>
  </si>
  <si>
    <t>T.N. Competencia digital</t>
  </si>
  <si>
    <t>T.N. Comunicación</t>
  </si>
  <si>
    <t>T.N. Emprendimiento / Innovación</t>
  </si>
  <si>
    <t>T.N. Responsabilidad</t>
  </si>
  <si>
    <t>T.N. Trabajo en equipo</t>
  </si>
  <si>
    <t>Txt Autonomía</t>
  </si>
  <si>
    <t>Txt Adaptación al entorno</t>
  </si>
  <si>
    <t>Txt Competencia digital</t>
  </si>
  <si>
    <t>Txt Comunicación</t>
  </si>
  <si>
    <t>Txt Emprendimiento / Innovación</t>
  </si>
  <si>
    <t>Txt Responsabilidad</t>
  </si>
  <si>
    <t>Txt Trabajo en equipo</t>
  </si>
  <si>
    <t>Merged Doc ID - Autoperfil Job</t>
  </si>
  <si>
    <t>Merged Doc URL - Autoperfil Job</t>
  </si>
  <si>
    <t>Link to merged Doc - Autoperfil Job</t>
  </si>
  <si>
    <t>Document Merge Status - Autoperfil Job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</si>
</sst>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b/>
      <i/>
      <color rgb="FF000000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ill="1" applyFont="1">
      <alignment horizontal="left" readingOrder="0" shrinkToFit="0" vertical="center" wrapText="0"/>
    </xf>
    <xf borderId="0" fillId="3" fontId="3" numFmtId="0" xfId="0" applyAlignment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3" fillId="4" fontId="4" numFmtId="0" xfId="0" applyAlignment="1" applyBorder="1" applyFill="1" applyFont="1">
      <alignment horizontal="right" shrinkToFit="0" vertical="center" wrapText="0"/>
    </xf>
    <xf borderId="3" fillId="4" fontId="4" numFmtId="0" xfId="0" applyAlignment="1" applyBorder="1" applyFill="1" applyFont="1">
      <alignment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0" fillId="4" fontId="4" numFmtId="0" xfId="0" applyAlignment="1" applyFill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B40" displayName="Form_Responses" name="Form_Responses" id="1">
  <tableColumns count="106">
    <tableColumn name="Marca temporal" id="1"/>
    <tableColumn name="Dirección de correo electrónico" id="2"/>
    <tableColumn name="Demuestro capacidad para hacer las cosas por mí mismo" id="3"/>
    <tableColumn name="Gestiono el tiempo de manera excelente, demostrando eficiencia y una planificación avanzada" id="4"/>
    <tableColumn name="Realizo mis tareas sin la ayuda de nadie" id="5"/>
    <tableColumn name="Soy capaz de establecer objetivos para realizar cualquier tarea" id="6"/>
    <tableColumn name="Pongo en marcha acciones sin que nadie me diga nada" id="7"/>
    <tableColumn name="Soy capaz de analizar las diferentes situaciones y actuar de forma correcta sin necesidad de ayuda" id="8"/>
    <tableColumn name="Soy capaz de ajustarme a diferentes contextos y situaciones" id="9"/>
    <tableColumn name="Demuestro gran flexibilidad ante los cambios, normas, equipos, herramientas..." id="10"/>
    <tableColumn name="Reacciono de formas positiva a los cambios o imprevistos, demostrando un temperamento admirable" id="11"/>
    <tableColumn name="Ante lo desconocido mantengo la calma, analizo la situación y ajusto mi comportamientos y mis acciones en base a lo que necesite cada situación" id="12"/>
    <tableColumn name="Soy capaz de adaptarme a los cambios de forma inmediata, mostrando agilidad y disposición al cambio" id="13"/>
    <tableColumn name="Soy capaz de aplicar lo aprendido en cualquier contexto (examen, presentación, documento, proyecto, empresa...)" id="14"/>
    <tableColumn name="Las herramientas que conozco o me han enseñado soy capaz de manejarlas de una manera excelente (Word, Excel, power point, contasol, Factusol, canva…)" id="15"/>
    <tableColumn name="Investigo sobre nuevas aplicaciones para saber cómo utilizarlas" id="16"/>
    <tableColumn name="Utilizo correctamente las TICs para resolver los problemas (presentaciones, investigación, trabajo cooperativo, realización de documentos, ejercicios…), generando contenido digitales de gran calidad" id="17"/>
    <tableColumn name="Soy capaz de valorar, de forma crítica, la idoneidad de determinadas herramientas para alcanzar un resultado óptimo" id="18"/>
    <tableColumn name="Elijo cuidadosamente y con criterio los términos de búsqueda y las fuentes de búsqueda para obtener información relevante, más completa y selectiva (webs, artículos, libros, investigaciones, sitios webs, referencias bibliográficas de otros autores, IA…)" id="19"/>
    <tableColumn name="Soy capaz de trabajar en entornos digitales colaborativos con otras personas de manera óptima" id="20"/>
    <tableColumn name="Respeto la propiedad intelectual y los derechos de autor" id="21"/>
    <tableColumn name="Adapto mi lenguaje verbal y no verbal (tono, gestos) al contexto (formal, informal, profesional…) y a las personas (amigos, compañeros, profesorado, empresa...)" id="22"/>
    <tableColumn name="Respeto el turno de palabra dejando hablar al resto" id="23"/>
    <tableColumn name="Interrumpo cuando otra persona habla" id="24"/>
    <tableColumn name="Levanto la mano para hablar" id="25"/>
    <tableColumn name="Intervengo sólo cuando me corresponde" id="26"/>
    <tableColumn name="Utilizo un vocabulario adecuado al contexto, situación y personas" id="27"/>
    <tableColumn name="Cuando hablo, aunque no lo haga queriendo, ataco con la palabra, la mirada, los gestos o lo que sea" id="28"/>
    <tableColumn name="Aplico la escucha activa" id="29"/>
    <tableColumn name="Tengo empatía con todas las personas" id="30"/>
    <tableColumn name="Expongo argumentos, pensamientos, opiniones o sentimientos de manera asertiva" id="31"/>
    <tableColumn name="Realizo presentaciones en público excelentes, tanto en mi comunicación verbal como no verbal (mirada, postura, gestos, voz…)" id="32"/>
    <tableColumn name="Mi comunicación no verbal durante el día a día es excelente en todos los ámbitos (manera de sentarme, de expresarme, gestos…)" id="33"/>
    <tableColumn name="Escribo sin faltas de ortografía o gramática" id="34"/>
    <tableColumn name="Demuestro capacidad de síntesis, tanto de forma oral como escrita" id="35"/>
    <tableColumn name="Utilizo una escritura clara, precisa y organizada que hace que se entienda lo que escribo" id="36"/>
    <tableColumn name="Comprendo lo que se me pide oralmente" id="37"/>
    <tableColumn name="Comprende lo que leo" id="38"/>
    <tableColumn name="Me enfado cuando me dicen algo que no me gusta o que va en contra de mi pensamiento" id="39"/>
    <tableColumn name="Demuestro iniciativa, yendo más allá de lo que se espera de mí" id="40"/>
    <tableColumn name="En caso de que el profe/la profe pregunte algo, respondo de forma voluntaria" id="41"/>
    <tableColumn name="Si hay que salir a hacer algo, soy la primera en hacerlo sin que nadie me diga nada" id="42"/>
    <tableColumn name="Conozco los riesgos de llevar a cabo alguna acción" id="43"/>
    <tableColumn name="Lleva a cabo/realizo soluciones para acabar algo (trabajo, prueba, proyecto…)" id="44"/>
    <tableColumn name="Soy capaz de identificar oportunidades donde emprender" id="45"/>
    <tableColumn name="Pienso, desarrollo/planteo y ejecuto planes de actuación de manera eficaz" id="46"/>
    <tableColumn name="Propongo ideas nuevas o mejoras en lo que se está haciendo (trabajos, proyectos, ejercicios, clases…)" id="47"/>
    <tableColumn name="Demuestro una generación de ideas nuevas/originales constante" id="48"/>
    <tableColumn name="Resuelvo los problemas/retos/proyectos…de una manera nueva/original" id="49"/>
    <tableColumn name="Aporto soluciones nuevas y creativas, elevando la calidad del trabajo, ya sea en equipo o individual" id="50"/>
    <tableColumn name="Cumplo con las normas establecidas" id="51"/>
    <tableColumn name="No tengo apercibimientos, CCC, CGP, pérdidas de evaluación…" id="52"/>
    <tableColumn name="No tengo faltas injustificadas ya que, cuando falto, aviso con antelación y traigo el justificante al momento" id="53"/>
    <tableColumn name="Soy puntual, tanto en las entregas como en llegar a los sitios" id="54"/>
    <tableColumn name="En caso de no poder cumplir con mis compromisos doy las explicaciones pertinentes en tiempo y forma" id="55"/>
    <tableColumn name="Hago lo que me he comprometido a hacer" id="56"/>
    <tableColumn name="Asumo las consecuencias de mis actos de buenas formas, mostrando madurez" id="57"/>
    <tableColumn name="Si me equivoco, lo reconozco y actúo para corregir el error en lugar de esconderme o echar la culpa a otras personas" id="58"/>
    <tableColumn name="Busco mejorar en lugar de evadir responsabilidades" id="59"/>
    <tableColumn name="Soy capaz de establecer rutinas de estudio, gestionar mi tiempo y resistirme a las distracciones para lograr mis objetivos" id="60"/>
    <tableColumn name="Cuando termino mi trabajo, ofrezco mi ayuda al resto del equipo" id="61"/>
    <tableColumn name="Me comunico de manera asertiva, facilitando un diálogo abierto, comprensible y cómodo" id="62"/>
    <tableColumn name="Soy capaz de organizar el trabajo en equipo" id="63"/>
    <tableColumn name="Soy capaz de coordinar a todas las personas del equipo" id="64"/>
    <tableColumn name="Comparto opiniones con el resto de mi equipo" id="65"/>
    <tableColumn name="Pregunto al resto si tienen dudas" id="66"/>
    <tableColumn name="Pregunto al equipo cuando tengo dudas" id="67"/>
    <tableColumn name="Escucho activamente al resto" id="68"/>
    <tableColumn name="Superviso el desarrollo del trabajo de cada persona" id="69"/>
    <tableColumn name="Asumo el liderazgo" id="70"/>
    <tableColumn name="Motivo al resto cuando no tienen ganas o motivación por algo" id="71"/>
    <tableColumn name="Apoyo al resto" id="72"/>
    <tableColumn name="Tengo una actitud activa" id="73"/>
    <tableColumn name="Tengo una actitud positiva" id="74"/>
    <tableColumn name="Soy una persona conflictiva" id="75"/>
    <tableColumn name="En caso de conflicto, busco y aporto soluciones al equipo" id="76"/>
    <tableColumn name="Soy capaz de proponer las tareas que hay que realizar antes que nadie" id="77"/>
    <tableColumn name="Acepto el papel/rol/tarea que me haya tocado" id="78"/>
    <tableColumn name="Me comprometo con lo que el equipo decide" id="79"/>
    <tableColumn name="Cumplo con el papel/rol/tarea que me haya tocado" id="80"/>
    <tableColumn name="Trato de mantener la unión del equipo" id="81"/>
    <tableColumn name="Autonomía" id="82"/>
    <tableColumn name="Adaptación al entorno" id="83"/>
    <tableColumn name="Competencia digital" id="84"/>
    <tableColumn name="Comunicación" id="85"/>
    <tableColumn name="Emprendimiento / Innovación" id="86"/>
    <tableColumn name="Responsabilidad" id="87"/>
    <tableColumn name="Trabajo en equipo" id="88"/>
    <tableColumn name="T.N. Autonomía" id="89"/>
    <tableColumn name="T.N. Adaptación al entorno" id="90"/>
    <tableColumn name="T.N. Competencia digital" id="91"/>
    <tableColumn name="T.N. Comunicación" id="92"/>
    <tableColumn name="T.N. Emprendimiento / Innovación" id="93"/>
    <tableColumn name="T.N. Responsabilidad" id="94"/>
    <tableColumn name="T.N. Trabajo en equipo" id="95"/>
    <tableColumn name="Txt Autonomía" id="96"/>
    <tableColumn name="Txt Adaptación al entorno" id="97"/>
    <tableColumn name="Txt Competencia digital" id="98"/>
    <tableColumn name="Txt Comunicación" id="99"/>
    <tableColumn name="Txt Emprendimiento / Innovación" id="100"/>
    <tableColumn name="Txt Responsabilidad" id="101"/>
    <tableColumn name="Txt Trabajo en equipo" id="102"/>
    <tableColumn name="Merged Doc ID - Autoperfil Job" id="103"/>
    <tableColumn name="Merged Doc URL - Autoperfil Job" id="104"/>
    <tableColumn name="Link to merged Doc - Autoperfil Job" id="105"/>
    <tableColumn name="Document Merge Status - Autoperfil Job" id="10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4" width="37.63"/>
    <col customWidth="1" min="5" max="5" width="34.13"/>
    <col customWidth="1" min="6" max="23" width="37.63"/>
    <col customWidth="1" min="24" max="24" width="33.13"/>
    <col customWidth="1" min="25" max="25" width="25.88"/>
    <col customWidth="1" min="26" max="26" width="34.5"/>
    <col customWidth="1" min="27" max="28" width="37.63"/>
    <col customWidth="1" min="29" max="29" width="22.88"/>
    <col customWidth="1" min="30" max="30" width="33.38"/>
    <col customWidth="1" min="31" max="33" width="37.63"/>
    <col customWidth="1" min="34" max="34" width="36.63"/>
    <col customWidth="1" min="35" max="36" width="37.63"/>
    <col customWidth="1" min="37" max="37" width="34.63"/>
    <col customWidth="1" min="38" max="38" width="21.25"/>
    <col customWidth="1" min="39" max="50" width="37.63"/>
    <col customWidth="1" min="51" max="51" width="32.13"/>
    <col customWidth="1" min="52" max="55" width="37.63"/>
    <col customWidth="1" min="56" max="56" width="35.75"/>
    <col customWidth="1" min="57" max="62" width="37.63"/>
    <col customWidth="1" min="63" max="63" width="36.75"/>
    <col customWidth="1" min="64" max="65" width="37.63"/>
    <col customWidth="1" min="66" max="66" width="29.13"/>
    <col customWidth="1" min="67" max="67" width="34.13"/>
    <col customWidth="1" min="68" max="68" width="26.63"/>
    <col customWidth="1" min="69" max="69" width="37.63"/>
    <col customWidth="1" min="70" max="70" width="19.25"/>
    <col customWidth="1" min="71" max="71" width="37.63"/>
    <col customWidth="1" min="72" max="72" width="18.88"/>
    <col customWidth="1" min="73" max="73" width="23.13"/>
    <col customWidth="1" min="74" max="74" width="24.5"/>
    <col customWidth="1" min="75" max="75" width="25.25"/>
    <col customWidth="1" min="76" max="78" width="37.63"/>
    <col customWidth="1" min="79" max="79" width="37.5"/>
    <col customWidth="1" min="80" max="80" width="37.63"/>
    <col customWidth="1" min="81" max="81" width="32.63"/>
    <col customWidth="1" min="82" max="105" width="18.88"/>
    <col customWidth="1" min="106" max="106" width="175.25"/>
  </cols>
  <sheetData>
    <row r="1" ht="22.5" customHeight="1">
      <c r="A1" s="5" t="s">
        <v>94</v>
      </c>
      <c r="B1" s="5" t="s">
        <v>95</v>
      </c>
      <c r="C1" s="5" t="s">
        <v>96</v>
      </c>
      <c r="D1" s="5" t="s">
        <v>97</v>
      </c>
      <c r="E1" s="5" t="s">
        <v>98</v>
      </c>
      <c r="F1" s="5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L1" s="5" t="s">
        <v>105</v>
      </c>
      <c r="M1" s="5" t="s">
        <v>106</v>
      </c>
      <c r="N1" s="5" t="s">
        <v>107</v>
      </c>
      <c r="O1" s="5" t="s">
        <v>108</v>
      </c>
      <c r="P1" s="5" t="s">
        <v>109</v>
      </c>
      <c r="Q1" s="5" t="s">
        <v>110</v>
      </c>
      <c r="R1" s="5" t="s">
        <v>111</v>
      </c>
      <c r="S1" s="5" t="s">
        <v>112</v>
      </c>
      <c r="T1" s="5" t="s">
        <v>113</v>
      </c>
      <c r="U1" s="5" t="s">
        <v>114</v>
      </c>
      <c r="V1" s="5" t="s">
        <v>115</v>
      </c>
      <c r="W1" s="5" t="s">
        <v>116</v>
      </c>
      <c r="X1" s="5" t="s">
        <v>117</v>
      </c>
      <c r="Y1" s="5" t="s">
        <v>118</v>
      </c>
      <c r="Z1" s="5" t="s">
        <v>119</v>
      </c>
      <c r="AA1" s="5" t="s">
        <v>120</v>
      </c>
      <c r="AB1" s="5" t="s">
        <v>121</v>
      </c>
      <c r="AC1" s="5" t="s">
        <v>122</v>
      </c>
      <c r="AD1" s="5" t="s">
        <v>123</v>
      </c>
      <c r="AE1" s="5" t="s">
        <v>124</v>
      </c>
      <c r="AF1" s="5" t="s">
        <v>125</v>
      </c>
      <c r="AG1" s="5" t="s">
        <v>126</v>
      </c>
      <c r="AH1" s="5" t="s">
        <v>127</v>
      </c>
      <c r="AI1" s="5" t="s">
        <v>128</v>
      </c>
      <c r="AJ1" s="5" t="s">
        <v>129</v>
      </c>
      <c r="AK1" s="5" t="s">
        <v>130</v>
      </c>
      <c r="AL1" s="5" t="s">
        <v>131</v>
      </c>
      <c r="AM1" s="5" t="s">
        <v>132</v>
      </c>
      <c r="AN1" s="5" t="s">
        <v>133</v>
      </c>
      <c r="AO1" s="5" t="s">
        <v>134</v>
      </c>
      <c r="AP1" s="5" t="s">
        <v>135</v>
      </c>
      <c r="AQ1" s="5" t="s">
        <v>136</v>
      </c>
      <c r="AR1" s="5" t="s">
        <v>137</v>
      </c>
      <c r="AS1" s="5" t="s">
        <v>138</v>
      </c>
      <c r="AT1" s="5" t="s">
        <v>139</v>
      </c>
      <c r="AU1" s="5" t="s">
        <v>140</v>
      </c>
      <c r="AV1" s="5" t="s">
        <v>141</v>
      </c>
      <c r="AW1" s="5" t="s">
        <v>142</v>
      </c>
      <c r="AX1" s="5" t="s">
        <v>143</v>
      </c>
      <c r="AY1" s="5" t="s">
        <v>144</v>
      </c>
      <c r="AZ1" s="5" t="s">
        <v>145</v>
      </c>
      <c r="BA1" s="5" t="s">
        <v>146</v>
      </c>
      <c r="BB1" s="5" t="s">
        <v>147</v>
      </c>
      <c r="BC1" s="5" t="s">
        <v>148</v>
      </c>
      <c r="BD1" s="5" t="s">
        <v>149</v>
      </c>
      <c r="BE1" s="5" t="s">
        <v>150</v>
      </c>
      <c r="BF1" s="5" t="s">
        <v>151</v>
      </c>
      <c r="BG1" s="5" t="s">
        <v>152</v>
      </c>
      <c r="BH1" s="5" t="s">
        <v>153</v>
      </c>
      <c r="BI1" s="5" t="s">
        <v>154</v>
      </c>
      <c r="BJ1" s="5" t="s">
        <v>155</v>
      </c>
      <c r="BK1" s="5" t="s">
        <v>156</v>
      </c>
      <c r="BL1" s="5" t="s">
        <v>157</v>
      </c>
      <c r="BM1" s="5" t="s">
        <v>158</v>
      </c>
      <c r="BN1" s="5" t="s">
        <v>159</v>
      </c>
      <c r="BO1" s="5" t="s">
        <v>160</v>
      </c>
      <c r="BP1" s="5" t="s">
        <v>161</v>
      </c>
      <c r="BQ1" s="5" t="s">
        <v>162</v>
      </c>
      <c r="BR1" s="5" t="s">
        <v>163</v>
      </c>
      <c r="BS1" s="5" t="s">
        <v>164</v>
      </c>
      <c r="BT1" s="5" t="s">
        <v>165</v>
      </c>
      <c r="BU1" s="5" t="s">
        <v>166</v>
      </c>
      <c r="BV1" s="5" t="s">
        <v>167</v>
      </c>
      <c r="BW1" s="5" t="s">
        <v>168</v>
      </c>
      <c r="BX1" s="5" t="s">
        <v>169</v>
      </c>
      <c r="BY1" s="5" t="s">
        <v>170</v>
      </c>
      <c r="BZ1" s="5" t="s">
        <v>171</v>
      </c>
      <c r="CA1" s="5" t="s">
        <v>172</v>
      </c>
      <c r="CB1" s="5" t="s">
        <v>173</v>
      </c>
      <c r="CC1" s="5" t="s">
        <v>174</v>
      </c>
      <c r="CD1" s="6" t="s">
        <v>14</v>
      </c>
      <c r="CE1" s="6" t="s">
        <v>70</v>
      </c>
      <c r="CF1" s="6" t="s">
        <v>74</v>
      </c>
      <c r="CG1" s="6" t="s">
        <v>78</v>
      </c>
      <c r="CH1" s="6" t="s">
        <v>82</v>
      </c>
      <c r="CI1" s="6" t="s">
        <v>86</v>
      </c>
      <c r="CJ1" s="6" t="s">
        <v>90</v>
      </c>
      <c r="CK1" s="6" t="s">
        <v>175</v>
      </c>
      <c r="CL1" s="6" t="s">
        <v>176</v>
      </c>
      <c r="CM1" s="6" t="s">
        <v>177</v>
      </c>
      <c r="CN1" s="6" t="s">
        <v>178</v>
      </c>
      <c r="CO1" s="6" t="s">
        <v>179</v>
      </c>
      <c r="CP1" s="6" t="s">
        <v>180</v>
      </c>
      <c r="CQ1" s="7" t="s">
        <v>181</v>
      </c>
      <c r="CR1" s="6" t="s">
        <v>182</v>
      </c>
      <c r="CS1" s="6" t="s">
        <v>183</v>
      </c>
      <c r="CT1" s="6" t="s">
        <v>184</v>
      </c>
      <c r="CU1" s="6" t="s">
        <v>185</v>
      </c>
      <c r="CV1" s="6" t="s">
        <v>186</v>
      </c>
      <c r="CW1" s="6" t="s">
        <v>187</v>
      </c>
      <c r="CX1" s="7" t="s">
        <v>188</v>
      </c>
      <c r="CY1" s="8" t="s">
        <v>189</v>
      </c>
      <c r="CZ1" s="8" t="s">
        <v>190</v>
      </c>
      <c r="DA1" s="8" t="s">
        <v>191</v>
      </c>
      <c r="DB1" s="8" t="s">
        <v>192</v>
      </c>
    </row>
    <row r="2" ht="22.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1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2">
        <f>SUM( IFERROR( VLOOKUP(B2, Config!$A:$B, 2, FALSE ), 0 ),IFERROR( VLOOKUP(C2, Config!$A:$B, 2, FALSE ), 0 ),IFERROR( VLOOKUP(D2, Config!$A:$B, 2, FALSE ), 0 ),IFERROR( VLOOKUP(E2, Config!$A:$B, 2, FALSE ), 0 ),IFERROR( VLOOKUP(F2, Config!$A:$B, 2, FALSE ), 0 ),  IFERROR( VLOOKUP(G2, Config!$A:$B, 2, FALSE ), 0 ),)</f>
        <v>0</v>
      </c>
      <c r="CE2" s="12">
        <f>SUM( IFERROR( VLOOKUP(H2, Config!$A:$B, 2, FALSE ), 0 ),IFERROR( VLOOKUP(I2, Config!$A:$B, 2, FALSE ), 0 ),IFERROR( VLOOKUP(J2, Config!$A:$B, 2, FALSE ), 0 ),IFERROR( VLOOKUP(K2, Config!$A:$B, 2, FALSE ), 0 ),IFERROR( VLOOKUP(L2, Config!$A:$B, 2, FALSE ), 0 ),  IFERROR( VLOOKUP(M2, Config!$A:$B, 2, FALSE ), 0 ),)</f>
        <v>0</v>
      </c>
      <c r="CF2" s="12">
        <f>SUM( IFERROR( VLOOKUP(N2, Config!$A:$B, 2, FALSE ), 0 ),IFERROR( VLOOKUP(O2, Config!$A:$B, 2, FALSE ), 0 ),IFERROR( VLOOKUP(P2, Config!$A:$B, 2, FALSE ), 0 ),IFERROR( VLOOKUP(Q2, Config!$A:$B, 2, FALSE ), 0 ),IFERROR( VLOOKUP(R2, Config!$A:$B, 2, FALSE ), 0 ),  IFERROR( VLOOKUP(S2, Config!$A:$B, 2, FALSE ), 0 ),)</f>
        <v>0</v>
      </c>
      <c r="CG2" s="12">
        <f>SUM( IFERROR( VLOOKUP(T2, Config!$A:$B, 2, FALSE ), 0 ),IFERROR( VLOOKUP(V2, Config!$A:$B, 2, FALSE ), 0 ),3-IFERROR( VLOOKUP(W2, Config!$A:$B, 2, FALSE ), 0 ),IFERROR( VLOOKUP(X2, Config!$A:$B, 2, FALSE ), 0 ),IFERROR( VLOOKUP(Y2, Config!$A:$B, 2, FALSE ), 0 ),  IFERROR( VLOOKUP(Z2, Config!$A:$B, 2, FALSE ), 0 ), 3- IFERROR( VLOOKUP(AA2, Config!$A:$B, 2, FALSE ), 0 ), IFERROR( VLOOKUP(AB2, Config!$A:$B, 2, FALSE ), 0 ), IFERROR( VLOOKUP(AC2, Config!$A:$B, 2, FALSE ), 0 ), IFERROR( VLOOKUP(AD2, Config!$A:$B, 2, FALSE ), 0 ), IFERROR( VLOOKUP(AE2, Config!$A:$B, 2, FALSE ), 0 ), IFERROR( VLOOKUP(AF2, Config!$A:$B, 2, FALSE ), 0 ), IFERROR( VLOOKUP(AG2, Config!$A:$B, 2, FALSE ), 0 ), IFERROR( VLOOKUP(AH2, Config!$A:$B, 2, FALSE ), 0 ), IFERROR( VLOOKUP(Z2, Config!$A:$B, 2, FALSE ), 0 ))</f>
        <v>6</v>
      </c>
      <c r="CH2" s="12">
        <f>SUM( IFERROR( VLOOKUP(AJ2, Config!$A:$B, 2, FALSE ), 0 ),IFERROR( VLOOKUP(AK2, Config!$A:$B, 2, FALSE ), 0 ),3-IFERROR( VLOOKUP(AL2, Config!$A:$B, 2, FALSE ), 0 ),IFERROR( VLOOKUP(AM2, Config!$A:$B, 2, FALSE ), 0 ),IFERROR( VLOOKUP(AN2, Config!$A:$B, 2, FALSE ), 0 ),  IFERROR( VLOOKUP(AO2, Config!$A:$B, 2, FALSE ), 0 ), IFERROR( VLOOKUP(AP2, Config!$A:$B, 2, FALSE ), 0 ), IFERROR( VLOOKUP(AQ2, Config!$A:$B, 2, FALSE ), 0 ), IFERROR( VLOOKUP(AR2, Config!$A:$B, 2, FALSE ), 0 ), IFERROR( VLOOKUP(AS2, Config!$A:$B, 2, FALSE ), 0 ), IFERROR( VLOOKUP(AT2, Config!$A:$B, 2, FALSE ), 0 ), IFERROR( VLOOKUP(AV2, Config!$A:$B, 2, FALSE ), 0 ))</f>
        <v>3</v>
      </c>
      <c r="CI2" s="12">
        <f>SUM( IFERROR( VLOOKUP(AW2, Config!$A:$B, 2, FALSE ), 0 ),IFERROR( VLOOKUP(AX2, Config!$A:$B, 2, FALSE ), 0 ),IFERROR( VLOOKUP(AY2, Config!$A:$B, 2, FALSE ), 0 ),IFERROR( VLOOKUP(AZ2, Config!$A:$B, 2, FALSE ), 0 ),IFERROR( VLOOKUP(BA2, Config!$A:$B, 2, FALSE ), 0 ),  IFERROR( VLOOKUP(BB2, Config!$A:$B, 2, FALSE ), 0 ), IFERROR( VLOOKUP(BC2, Config!$A:$B, 2, FALSE ), 0 ), IFERROR( VLOOKUP(BD2, Config!$A:$B, 2, FALSE ), 0 ), IFERROR( VLOOKUP(BE2, Config!$A:$B, 2, FALSE ), 0 ),)</f>
        <v>0</v>
      </c>
      <c r="CJ2" s="12">
        <f>SUM( IFERROR( VLOOKUP(BF2, Config!$A:$B, 2, FALSE ), 0 ),IFERROR( VLOOKUP(BG2, Config!$A:$B, 2, FALSE ), 0 ),IFERROR( VLOOKUP(BH2, Config!$A:$B, 2, FALSE ), 0 ),IFERROR( VLOOKUP(BI2, Config!$A:$B, 2, FALSE ), 0 ),IFERROR( VLOOKUP(BJ2, Config!$A:$B, 2, FALSE ), 0 ),  IFERROR( VLOOKUP(BK2, Config!$A:$B, 2, FALSE ), 0 ), IFERROR( VLOOKUP(BL2, Config!$A:$B, 2, FALSE ), 0 ), IFERROR( VLOOKUP(BM2, Config!$A:$B, 2, FALSE ), 0 ), IFERROR( VLOOKUP(BN2, Config!$A:$B, 2, FALSE ), 0 ),IFERROR( VLOOKUP(BO2, Config!$A:$B, 2, FALSE ), 0 ),  IFERROR( VLOOKUP(BP2, Config!$A:$B, 2, FALSE ), 0 ), IFERROR( VLOOKUP(BQ2, Config!$A:$B, 2, FALSE ), 0 ), IFERROR( VLOOKUP(BR2, Config!$A:$B, 2, FALSE ), 0 ), IFERROR( VLOOKUP(BS2, Config!$A:$B, 2, FALSE ), 0 ),IFERROR( VLOOKUP(BT2, Config!$A:$B, 2, FALSE ), 0 ), 3 - IFERROR( VLOOKUP(BV2, Config!$A:$B, 2, FALSE ), 0 ), IFERROR( VLOOKUP(BW2, Config!$A:$B, 2, FALSE ), 0 ), IFERROR( VLOOKUP(BX2, Config!$A:$B, 2, FALSE ), 0 ), IFERROR( VLOOKUP(BY2, Config!$A:$B, 2, FALSE ), 0 ),IFERROR( VLOOKUP(BZ2, Config!$A:$B, 2, FALSE ), 0 ),  IFERROR( VLOOKUP(CA2, Config!$A:$B, 2, FALSE ), 0 ), IFERROR( VLOOKUP(CB2, Config!$A:$B, 2, FALSE ), 0 ))</f>
        <v>3</v>
      </c>
      <c r="CK2" s="13" t="str">
        <f>LET(p,CD2,m,Config!$F$2,IFS(p&lt;=m/3,"Incipiente",p&lt;=2*m/3,"En desarrollo",TRUE,"Consolidado"))</f>
        <v>#REF!</v>
      </c>
      <c r="CL2" s="13" t="str">
        <f>LET(p,CE2,m,Config!$F$3,IFS(p&lt;=m/3,"Incipiente",p&lt;=2*m/3,"En desarrollo",TRUE,"Consolidado"))</f>
        <v>#REF!</v>
      </c>
      <c r="CM2" s="13" t="str">
        <f>LET(p,CF2,m,Config!$F$4,IFS(p&lt;=m/3,"Incipiente",p&lt;=2*m/3,"En desarrollo",TRUE,"Consolidado"))</f>
        <v>#REF!</v>
      </c>
      <c r="CN2" s="13" t="str">
        <f>LET(p,CG2,m,Config!$F$5,IFS(p&lt;=m/3,"Incipiente",p&lt;=2*m/3,"En desarrollo",TRUE,"Consolidado"))</f>
        <v>#REF!</v>
      </c>
      <c r="CO2" s="13" t="str">
        <f>LET(p,CH2,m,Config!$F$6,IFS(p&lt;=m/3,"Incipiente",p&lt;=2*m/3,"En desarrollo",TRUE,"Consolidado"))</f>
        <v>#REF!</v>
      </c>
      <c r="CP2" s="13" t="str">
        <f>LET(p,CI2,m,Config!$F$7,IFS(p&lt;=m/3,"Incipiente",p&lt;=2*m/3,"En desarrollo",TRUE,"Consolidado"))</f>
        <v>#REF!</v>
      </c>
      <c r="CQ2" s="14" t="str">
        <f>LET(p,CJ2,m,Config!$F$8,IFS(p&lt;=m/3,"Incipiente",p&lt;=2*m/3,"En desarrollo",TRUE,"Consolidado"))</f>
        <v>#REF!</v>
      </c>
      <c r="CR2" s="15" t="str">
        <f>VLOOKUP(CK2, Perfiles_CC!$B$2:$C$4, 2, FALSE)</f>
        <v>#REF!</v>
      </c>
      <c r="CS2" s="15" t="str">
        <f>VLOOKUP(CL2, Perfiles_CC!$B$5:$C$7, 2, FALSE)</f>
        <v>#REF!</v>
      </c>
      <c r="CT2" s="15" t="str">
        <f>VLOOKUP(CM2, Perfiles_CC!$B$8:$C$10, 2, FALSE)</f>
        <v>#REF!</v>
      </c>
      <c r="CU2" s="15" t="str">
        <f>VLOOKUP(CN2, Perfiles_CC!$B$11:$C$13, 2, FALSE)</f>
        <v>#REF!</v>
      </c>
      <c r="CV2" s="15" t="str">
        <f>VLOOKUP(CO2, Perfiles_CC!$B$14:$C$16, 2, FALSE)</f>
        <v>#REF!</v>
      </c>
      <c r="CW2" s="15" t="str">
        <f>VLOOKUP(CP2, Perfiles_CC!$B$17:$C$19, 2, FALSE)</f>
        <v>#REF!</v>
      </c>
      <c r="CX2" s="15" t="str">
        <f>VLOOKUP(CQ2, Perfiles_CC!$B$20:$C$22, 2, FALSE)</f>
        <v>#REF!</v>
      </c>
      <c r="CY2" s="15"/>
      <c r="CZ2" s="15"/>
      <c r="DA2" s="15"/>
      <c r="DB2" s="15"/>
    </row>
    <row r="3" ht="22.5" customHeight="1">
      <c r="A3" s="16"/>
    </row>
    <row r="4" ht="22.5" customHeight="1">
      <c r="A4" s="16"/>
    </row>
    <row r="5" ht="22.5" customHeight="1">
      <c r="A5" s="16"/>
    </row>
    <row r="6" ht="22.5" customHeight="1">
      <c r="A6" s="16"/>
    </row>
    <row r="7" ht="22.5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2"/>
      <c r="CE7" s="12"/>
      <c r="CF7" s="12"/>
      <c r="CG7" s="12"/>
      <c r="CH7" s="12"/>
      <c r="CI7" s="12"/>
      <c r="CJ7" s="12"/>
      <c r="CK7" s="13"/>
      <c r="CL7" s="13"/>
      <c r="CM7" s="13"/>
      <c r="CN7" s="13"/>
      <c r="CO7" s="13"/>
      <c r="CP7" s="13"/>
      <c r="CQ7" s="14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</row>
    <row r="8" ht="22.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2"/>
      <c r="CE8" s="12"/>
      <c r="CF8" s="12"/>
      <c r="CG8" s="12"/>
      <c r="CH8" s="12"/>
      <c r="CI8" s="12"/>
      <c r="CJ8" s="12"/>
      <c r="CK8" s="13"/>
      <c r="CL8" s="13"/>
      <c r="CM8" s="13"/>
      <c r="CN8" s="13"/>
      <c r="CO8" s="13"/>
      <c r="CP8" s="13"/>
      <c r="CQ8" s="14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</row>
    <row r="9" ht="22.5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2"/>
      <c r="CE9" s="12"/>
      <c r="CF9" s="12"/>
      <c r="CG9" s="12"/>
      <c r="CH9" s="12"/>
      <c r="CI9" s="12"/>
      <c r="CJ9" s="12"/>
      <c r="CK9" s="13"/>
      <c r="CL9" s="13"/>
      <c r="CM9" s="13"/>
      <c r="CN9" s="13"/>
      <c r="CO9" s="13"/>
      <c r="CP9" s="13"/>
      <c r="CQ9" s="14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</row>
    <row r="10" ht="22.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2"/>
      <c r="CE10" s="12"/>
      <c r="CF10" s="12"/>
      <c r="CG10" s="12"/>
      <c r="CH10" s="12"/>
      <c r="CI10" s="12"/>
      <c r="CJ10" s="12"/>
      <c r="CK10" s="13"/>
      <c r="CL10" s="13"/>
      <c r="CM10" s="13"/>
      <c r="CN10" s="13"/>
      <c r="CO10" s="13"/>
      <c r="CP10" s="13"/>
      <c r="CQ10" s="14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</row>
    <row r="11" ht="22.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2"/>
      <c r="CE11" s="12"/>
      <c r="CF11" s="12"/>
      <c r="CG11" s="12"/>
      <c r="CH11" s="12"/>
      <c r="CI11" s="12"/>
      <c r="CJ11" s="12"/>
      <c r="CK11" s="13"/>
      <c r="CL11" s="13"/>
      <c r="CM11" s="13"/>
      <c r="CN11" s="13"/>
      <c r="CO11" s="13"/>
      <c r="CP11" s="13"/>
      <c r="CQ11" s="14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</row>
    <row r="12" ht="22.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2"/>
      <c r="CE12" s="12"/>
      <c r="CF12" s="12"/>
      <c r="CG12" s="12"/>
      <c r="CH12" s="12"/>
      <c r="CI12" s="12"/>
      <c r="CJ12" s="12"/>
      <c r="CK12" s="13"/>
      <c r="CL12" s="13"/>
      <c r="CM12" s="13"/>
      <c r="CN12" s="13"/>
      <c r="CO12" s="13"/>
      <c r="CP12" s="13"/>
      <c r="CQ12" s="14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</row>
    <row r="13" ht="22.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2"/>
      <c r="CE13" s="12"/>
      <c r="CF13" s="12"/>
      <c r="CG13" s="12"/>
      <c r="CH13" s="12"/>
      <c r="CI13" s="12"/>
      <c r="CJ13" s="12"/>
      <c r="CK13" s="13"/>
      <c r="CL13" s="13"/>
      <c r="CM13" s="13"/>
      <c r="CN13" s="13"/>
      <c r="CO13" s="13"/>
      <c r="CP13" s="13"/>
      <c r="CQ13" s="14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</row>
    <row r="14" ht="22.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2"/>
      <c r="CE14" s="12"/>
      <c r="CF14" s="12"/>
      <c r="CG14" s="12"/>
      <c r="CH14" s="12"/>
      <c r="CI14" s="12"/>
      <c r="CJ14" s="12"/>
      <c r="CK14" s="13"/>
      <c r="CL14" s="13"/>
      <c r="CM14" s="13"/>
      <c r="CN14" s="13"/>
      <c r="CO14" s="13"/>
      <c r="CP14" s="13"/>
      <c r="CQ14" s="14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</row>
    <row r="15" ht="22.5" customHeight="1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2"/>
      <c r="CE15" s="12"/>
      <c r="CF15" s="12"/>
      <c r="CG15" s="12"/>
      <c r="CH15" s="12"/>
      <c r="CI15" s="12"/>
      <c r="CJ15" s="12"/>
      <c r="CK15" s="13"/>
      <c r="CL15" s="13"/>
      <c r="CM15" s="13"/>
      <c r="CN15" s="13"/>
      <c r="CO15" s="13"/>
      <c r="CP15" s="13"/>
      <c r="CQ15" s="14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</row>
    <row r="16" ht="22.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2"/>
      <c r="CE16" s="12"/>
      <c r="CF16" s="12"/>
      <c r="CG16" s="12"/>
      <c r="CH16" s="12"/>
      <c r="CI16" s="12"/>
      <c r="CJ16" s="12"/>
      <c r="CK16" s="13"/>
      <c r="CL16" s="13"/>
      <c r="CM16" s="13"/>
      <c r="CN16" s="13"/>
      <c r="CO16" s="13"/>
      <c r="CP16" s="13"/>
      <c r="CQ16" s="14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</row>
    <row r="17" ht="22.5" customHeight="1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2"/>
      <c r="CE17" s="12"/>
      <c r="CF17" s="12"/>
      <c r="CG17" s="12"/>
      <c r="CH17" s="12"/>
      <c r="CI17" s="12"/>
      <c r="CJ17" s="12"/>
      <c r="CK17" s="13"/>
      <c r="CL17" s="13"/>
      <c r="CM17" s="13"/>
      <c r="CN17" s="13"/>
      <c r="CO17" s="13"/>
      <c r="CP17" s="13"/>
      <c r="CQ17" s="14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</row>
    <row r="18" ht="22.5" customHeight="1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2"/>
      <c r="CE18" s="12"/>
      <c r="CF18" s="12"/>
      <c r="CG18" s="12"/>
      <c r="CH18" s="12"/>
      <c r="CI18" s="12"/>
      <c r="CJ18" s="12"/>
      <c r="CK18" s="13"/>
      <c r="CL18" s="13"/>
      <c r="CM18" s="13"/>
      <c r="CN18" s="13"/>
      <c r="CO18" s="13"/>
      <c r="CP18" s="13"/>
      <c r="CQ18" s="14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</row>
    <row r="19" ht="22.5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2"/>
      <c r="CE19" s="12"/>
      <c r="CF19" s="12"/>
      <c r="CG19" s="12"/>
      <c r="CH19" s="12"/>
      <c r="CI19" s="12"/>
      <c r="CJ19" s="12"/>
      <c r="CK19" s="13"/>
      <c r="CL19" s="13"/>
      <c r="CM19" s="13"/>
      <c r="CN19" s="13"/>
      <c r="CO19" s="13"/>
      <c r="CP19" s="13"/>
      <c r="CQ19" s="14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</row>
    <row r="20" ht="22.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2"/>
      <c r="CE20" s="12"/>
      <c r="CF20" s="12"/>
      <c r="CG20" s="12"/>
      <c r="CH20" s="12"/>
      <c r="CI20" s="12"/>
      <c r="CJ20" s="12"/>
      <c r="CK20" s="13"/>
      <c r="CL20" s="13"/>
      <c r="CM20" s="13"/>
      <c r="CN20" s="13"/>
      <c r="CO20" s="13"/>
      <c r="CP20" s="13"/>
      <c r="CQ20" s="14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</row>
    <row r="21" ht="22.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2"/>
      <c r="CE21" s="12"/>
      <c r="CF21" s="12"/>
      <c r="CG21" s="12"/>
      <c r="CH21" s="12"/>
      <c r="CI21" s="12"/>
      <c r="CJ21" s="12"/>
      <c r="CK21" s="13"/>
      <c r="CL21" s="13"/>
      <c r="CM21" s="13"/>
      <c r="CN21" s="13"/>
      <c r="CO21" s="13"/>
      <c r="CP21" s="13"/>
      <c r="CQ21" s="14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</row>
    <row r="22" ht="22.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2"/>
      <c r="CE22" s="12"/>
      <c r="CF22" s="12"/>
      <c r="CG22" s="12"/>
      <c r="CH22" s="12"/>
      <c r="CI22" s="12"/>
      <c r="CJ22" s="12"/>
      <c r="CK22" s="13"/>
      <c r="CL22" s="13"/>
      <c r="CM22" s="13"/>
      <c r="CN22" s="13"/>
      <c r="CO22" s="13"/>
      <c r="CP22" s="13"/>
      <c r="CQ22" s="14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</row>
    <row r="23" ht="22.5" customHeight="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2"/>
      <c r="CE23" s="12"/>
      <c r="CF23" s="12"/>
      <c r="CG23" s="12"/>
      <c r="CH23" s="12"/>
      <c r="CI23" s="12"/>
      <c r="CJ23" s="12"/>
      <c r="CK23" s="13"/>
      <c r="CL23" s="13"/>
      <c r="CM23" s="13"/>
      <c r="CN23" s="13"/>
      <c r="CO23" s="13"/>
      <c r="CP23" s="13"/>
      <c r="CQ23" s="14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</row>
    <row r="24" ht="22.5" customHeight="1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2"/>
      <c r="CE24" s="12"/>
      <c r="CF24" s="12"/>
      <c r="CG24" s="12"/>
      <c r="CH24" s="12"/>
      <c r="CI24" s="12"/>
      <c r="CJ24" s="12"/>
      <c r="CK24" s="13"/>
      <c r="CL24" s="13"/>
      <c r="CM24" s="13"/>
      <c r="CN24" s="13"/>
      <c r="CO24" s="13"/>
      <c r="CP24" s="13"/>
      <c r="CQ24" s="14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</row>
    <row r="25" ht="22.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2"/>
      <c r="CE25" s="12"/>
      <c r="CF25" s="12"/>
      <c r="CG25" s="12"/>
      <c r="CH25" s="12"/>
      <c r="CI25" s="12"/>
      <c r="CJ25" s="12"/>
      <c r="CK25" s="13"/>
      <c r="CL25" s="13"/>
      <c r="CM25" s="13"/>
      <c r="CN25" s="13"/>
      <c r="CO25" s="13"/>
      <c r="CP25" s="13"/>
      <c r="CQ25" s="14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</row>
    <row r="26" ht="22.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2"/>
      <c r="CE26" s="12"/>
      <c r="CF26" s="12"/>
      <c r="CG26" s="12"/>
      <c r="CH26" s="12"/>
      <c r="CI26" s="12"/>
      <c r="CJ26" s="12"/>
      <c r="CK26" s="13"/>
      <c r="CL26" s="13"/>
      <c r="CM26" s="13"/>
      <c r="CN26" s="13"/>
      <c r="CO26" s="13"/>
      <c r="CP26" s="13"/>
      <c r="CQ26" s="14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</row>
    <row r="27" ht="22.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2"/>
      <c r="CE27" s="12"/>
      <c r="CF27" s="12"/>
      <c r="CG27" s="12"/>
      <c r="CH27" s="12"/>
      <c r="CI27" s="12"/>
      <c r="CJ27" s="12"/>
      <c r="CK27" s="13"/>
      <c r="CL27" s="13"/>
      <c r="CM27" s="13"/>
      <c r="CN27" s="13"/>
      <c r="CO27" s="13"/>
      <c r="CP27" s="13"/>
      <c r="CQ27" s="14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</row>
    <row r="28" ht="22.5" customHeight="1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2"/>
      <c r="CE28" s="12"/>
      <c r="CF28" s="12"/>
      <c r="CG28" s="12"/>
      <c r="CH28" s="12"/>
      <c r="CI28" s="12"/>
      <c r="CJ28" s="12"/>
      <c r="CK28" s="13"/>
      <c r="CL28" s="13"/>
      <c r="CM28" s="13"/>
      <c r="CN28" s="13"/>
      <c r="CO28" s="13"/>
      <c r="CP28" s="13"/>
      <c r="CQ28" s="14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</row>
    <row r="29" ht="22.5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2"/>
      <c r="CE29" s="12"/>
      <c r="CF29" s="12"/>
      <c r="CG29" s="12"/>
      <c r="CH29" s="12"/>
      <c r="CI29" s="12"/>
      <c r="CJ29" s="12"/>
      <c r="CK29" s="13"/>
      <c r="CL29" s="13"/>
      <c r="CM29" s="13"/>
      <c r="CN29" s="13"/>
      <c r="CO29" s="13"/>
      <c r="CP29" s="13"/>
      <c r="CQ29" s="14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</row>
    <row r="30" ht="22.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2"/>
      <c r="CE30" s="12"/>
      <c r="CF30" s="12"/>
      <c r="CG30" s="12"/>
      <c r="CH30" s="12"/>
      <c r="CI30" s="12"/>
      <c r="CJ30" s="12"/>
      <c r="CK30" s="13"/>
      <c r="CL30" s="13"/>
      <c r="CM30" s="13"/>
      <c r="CN30" s="13"/>
      <c r="CO30" s="13"/>
      <c r="CP30" s="13"/>
      <c r="CQ30" s="14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</row>
    <row r="31" ht="22.5" customHeight="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2"/>
      <c r="CE31" s="12"/>
      <c r="CF31" s="12"/>
      <c r="CG31" s="12"/>
      <c r="CH31" s="12"/>
      <c r="CI31" s="12"/>
      <c r="CJ31" s="12"/>
      <c r="CK31" s="13"/>
      <c r="CL31" s="13"/>
      <c r="CM31" s="13"/>
      <c r="CN31" s="13"/>
      <c r="CO31" s="13"/>
      <c r="CP31" s="13"/>
      <c r="CQ31" s="14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</row>
    <row r="32" ht="22.5" customHeight="1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2"/>
      <c r="CE32" s="12"/>
      <c r="CF32" s="12"/>
      <c r="CG32" s="12"/>
      <c r="CH32" s="12"/>
      <c r="CI32" s="12"/>
      <c r="CJ32" s="12"/>
      <c r="CK32" s="13"/>
      <c r="CL32" s="13"/>
      <c r="CM32" s="13"/>
      <c r="CN32" s="13"/>
      <c r="CO32" s="13"/>
      <c r="CP32" s="13"/>
      <c r="CQ32" s="14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</row>
    <row r="33" ht="22.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2"/>
      <c r="CE33" s="12"/>
      <c r="CF33" s="12"/>
      <c r="CG33" s="12"/>
      <c r="CH33" s="12"/>
      <c r="CI33" s="12"/>
      <c r="CJ33" s="12"/>
      <c r="CK33" s="13"/>
      <c r="CL33" s="13"/>
      <c r="CM33" s="13"/>
      <c r="CN33" s="13"/>
      <c r="CO33" s="13"/>
      <c r="CP33" s="13"/>
      <c r="CQ33" s="14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</row>
    <row r="34" ht="22.5" customHeight="1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2"/>
      <c r="CE34" s="12"/>
      <c r="CF34" s="12"/>
      <c r="CG34" s="12"/>
      <c r="CH34" s="12"/>
      <c r="CI34" s="12"/>
      <c r="CJ34" s="12"/>
      <c r="CK34" s="13"/>
      <c r="CL34" s="13"/>
      <c r="CM34" s="13"/>
      <c r="CN34" s="13"/>
      <c r="CO34" s="13"/>
      <c r="CP34" s="13"/>
      <c r="CQ34" s="14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</row>
    <row r="35" ht="22.5" customHeight="1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2"/>
      <c r="CE35" s="12"/>
      <c r="CF35" s="12"/>
      <c r="CG35" s="12"/>
      <c r="CH35" s="12"/>
      <c r="CI35" s="12"/>
      <c r="CJ35" s="12"/>
      <c r="CK35" s="13"/>
      <c r="CL35" s="13"/>
      <c r="CM35" s="13"/>
      <c r="CN35" s="13"/>
      <c r="CO35" s="13"/>
      <c r="CP35" s="13"/>
      <c r="CQ35" s="14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</row>
    <row r="36" ht="22.5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2"/>
      <c r="CE36" s="12"/>
      <c r="CF36" s="12"/>
      <c r="CG36" s="12"/>
      <c r="CH36" s="12"/>
      <c r="CI36" s="12"/>
      <c r="CJ36" s="12"/>
      <c r="CK36" s="13"/>
      <c r="CL36" s="13"/>
      <c r="CM36" s="13"/>
      <c r="CN36" s="13"/>
      <c r="CO36" s="13"/>
      <c r="CP36" s="13"/>
      <c r="CQ36" s="14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</row>
    <row r="37" ht="22.5" customHeight="1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2"/>
      <c r="CE37" s="12"/>
      <c r="CF37" s="12"/>
      <c r="CG37" s="12"/>
      <c r="CH37" s="12"/>
      <c r="CI37" s="12"/>
      <c r="CJ37" s="12"/>
      <c r="CK37" s="13"/>
      <c r="CL37" s="13"/>
      <c r="CM37" s="13"/>
      <c r="CN37" s="13"/>
      <c r="CO37" s="13"/>
      <c r="CP37" s="13"/>
      <c r="CQ37" s="14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</row>
    <row r="38" ht="22.5" customHeight="1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2"/>
      <c r="CE38" s="12"/>
      <c r="CF38" s="12"/>
      <c r="CG38" s="12"/>
      <c r="CH38" s="12"/>
      <c r="CI38" s="12"/>
      <c r="CJ38" s="12"/>
      <c r="CK38" s="13"/>
      <c r="CL38" s="13"/>
      <c r="CM38" s="13"/>
      <c r="CN38" s="13"/>
      <c r="CO38" s="13"/>
      <c r="CP38" s="13"/>
      <c r="CQ38" s="14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</row>
    <row r="39" ht="22.5" customHeight="1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2"/>
      <c r="CE39" s="12"/>
      <c r="CF39" s="12"/>
      <c r="CG39" s="12"/>
      <c r="CH39" s="12"/>
      <c r="CI39" s="12"/>
      <c r="CJ39" s="12"/>
      <c r="CK39" s="13"/>
      <c r="CL39" s="13"/>
      <c r="CM39" s="13"/>
      <c r="CN39" s="13"/>
      <c r="CO39" s="13"/>
      <c r="CP39" s="13"/>
      <c r="CQ39" s="14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</row>
    <row r="40" ht="22.5" customHeight="1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2"/>
      <c r="CE40" s="12"/>
      <c r="CF40" s="12"/>
      <c r="CG40" s="12"/>
      <c r="CH40" s="12"/>
      <c r="CI40" s="12"/>
      <c r="CJ40" s="12"/>
      <c r="CK40" s="13"/>
      <c r="CL40" s="13"/>
      <c r="CM40" s="13"/>
      <c r="CN40" s="13"/>
      <c r="CO40" s="13"/>
      <c r="CP40" s="13"/>
      <c r="CQ40" s="14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184.38"/>
    <col customWidth="1" min="4" max="4" width="30.13"/>
  </cols>
  <sheetData>
    <row r="1">
      <c r="A1" s="1" t="s">
        <v>2</v>
      </c>
      <c r="B1" s="1" t="s">
        <v>5</v>
      </c>
      <c r="C1" s="1" t="s">
        <v>7</v>
      </c>
      <c r="D1" s="1" t="s">
        <v>11</v>
      </c>
    </row>
    <row r="2">
      <c r="A2" s="1" t="s">
        <v>14</v>
      </c>
      <c r="B2" s="1" t="s">
        <v>17</v>
      </c>
      <c r="C2" s="1" t="s">
        <v>20</v>
      </c>
      <c r="D2" s="4" t="str">
        <f t="shared" ref="D2:D22" si="1">A2&amp;" | "&amp;B2</f>
        <v>Autonomía | Incipiente</v>
      </c>
    </row>
    <row r="3">
      <c r="A3" s="1" t="s">
        <v>14</v>
      </c>
      <c r="B3" s="1" t="s">
        <v>66</v>
      </c>
      <c r="C3" s="1" t="s">
        <v>67</v>
      </c>
      <c r="D3" s="4" t="str">
        <f t="shared" si="1"/>
        <v>Autonomía | En desarrollo</v>
      </c>
    </row>
    <row r="4">
      <c r="A4" s="1" t="s">
        <v>14</v>
      </c>
      <c r="B4" s="1" t="s">
        <v>68</v>
      </c>
      <c r="C4" s="1" t="s">
        <v>69</v>
      </c>
      <c r="D4" s="4" t="str">
        <f t="shared" si="1"/>
        <v>Autonomía | Consolidado</v>
      </c>
    </row>
    <row r="5">
      <c r="A5" s="1" t="s">
        <v>70</v>
      </c>
      <c r="B5" s="1" t="s">
        <v>17</v>
      </c>
      <c r="C5" s="1" t="s">
        <v>71</v>
      </c>
      <c r="D5" s="4" t="str">
        <f t="shared" si="1"/>
        <v>Adaptación al entorno | Incipiente</v>
      </c>
    </row>
    <row r="6">
      <c r="A6" s="1" t="s">
        <v>70</v>
      </c>
      <c r="B6" s="1" t="s">
        <v>66</v>
      </c>
      <c r="C6" s="1" t="s">
        <v>72</v>
      </c>
      <c r="D6" s="4" t="str">
        <f t="shared" si="1"/>
        <v>Adaptación al entorno | En desarrollo</v>
      </c>
    </row>
    <row r="7">
      <c r="A7" s="1" t="s">
        <v>70</v>
      </c>
      <c r="B7" s="1" t="s">
        <v>68</v>
      </c>
      <c r="C7" s="1" t="s">
        <v>73</v>
      </c>
      <c r="D7" s="4" t="str">
        <f t="shared" si="1"/>
        <v>Adaptación al entorno | Consolidado</v>
      </c>
    </row>
    <row r="8">
      <c r="A8" s="1" t="s">
        <v>74</v>
      </c>
      <c r="B8" s="1" t="s">
        <v>17</v>
      </c>
      <c r="C8" s="1" t="s">
        <v>75</v>
      </c>
      <c r="D8" s="4" t="str">
        <f t="shared" si="1"/>
        <v>Competencia digital | Incipiente</v>
      </c>
    </row>
    <row r="9">
      <c r="A9" s="1" t="s">
        <v>74</v>
      </c>
      <c r="B9" s="1" t="s">
        <v>66</v>
      </c>
      <c r="C9" s="1" t="s">
        <v>76</v>
      </c>
      <c r="D9" s="4" t="str">
        <f t="shared" si="1"/>
        <v>Competencia digital | En desarrollo</v>
      </c>
    </row>
    <row r="10">
      <c r="A10" s="1" t="s">
        <v>74</v>
      </c>
      <c r="B10" s="1" t="s">
        <v>68</v>
      </c>
      <c r="C10" s="1" t="s">
        <v>77</v>
      </c>
      <c r="D10" s="4" t="str">
        <f t="shared" si="1"/>
        <v>Competencia digital | Consolidado</v>
      </c>
    </row>
    <row r="11">
      <c r="A11" s="1" t="s">
        <v>78</v>
      </c>
      <c r="B11" s="1" t="s">
        <v>17</v>
      </c>
      <c r="C11" s="1" t="s">
        <v>79</v>
      </c>
      <c r="D11" s="4" t="str">
        <f t="shared" si="1"/>
        <v>Comunicación | Incipiente</v>
      </c>
    </row>
    <row r="12">
      <c r="A12" s="1" t="s">
        <v>78</v>
      </c>
      <c r="B12" s="1" t="s">
        <v>66</v>
      </c>
      <c r="C12" s="1" t="s">
        <v>80</v>
      </c>
      <c r="D12" s="4" t="str">
        <f t="shared" si="1"/>
        <v>Comunicación | En desarrollo</v>
      </c>
    </row>
    <row r="13">
      <c r="A13" s="1" t="s">
        <v>78</v>
      </c>
      <c r="B13" s="1" t="s">
        <v>68</v>
      </c>
      <c r="C13" s="1" t="s">
        <v>81</v>
      </c>
      <c r="D13" s="4" t="str">
        <f t="shared" si="1"/>
        <v>Comunicación | Consolidado</v>
      </c>
    </row>
    <row r="14">
      <c r="A14" s="1" t="s">
        <v>82</v>
      </c>
      <c r="B14" s="1" t="s">
        <v>17</v>
      </c>
      <c r="C14" s="1" t="s">
        <v>83</v>
      </c>
      <c r="D14" s="4" t="str">
        <f t="shared" si="1"/>
        <v>Emprendimiento / Innovación | Incipiente</v>
      </c>
    </row>
    <row r="15">
      <c r="A15" s="1" t="s">
        <v>82</v>
      </c>
      <c r="B15" s="1" t="s">
        <v>66</v>
      </c>
      <c r="C15" s="1" t="s">
        <v>84</v>
      </c>
      <c r="D15" s="4" t="str">
        <f t="shared" si="1"/>
        <v>Emprendimiento / Innovación | En desarrollo</v>
      </c>
    </row>
    <row r="16">
      <c r="A16" s="1" t="s">
        <v>82</v>
      </c>
      <c r="B16" s="1" t="s">
        <v>68</v>
      </c>
      <c r="C16" s="1" t="s">
        <v>85</v>
      </c>
      <c r="D16" s="4" t="str">
        <f t="shared" si="1"/>
        <v>Emprendimiento / Innovación | Consolidado</v>
      </c>
    </row>
    <row r="17">
      <c r="A17" s="1" t="s">
        <v>86</v>
      </c>
      <c r="B17" s="1" t="s">
        <v>17</v>
      </c>
      <c r="C17" s="1" t="s">
        <v>87</v>
      </c>
      <c r="D17" s="4" t="str">
        <f t="shared" si="1"/>
        <v>Responsabilidad | Incipiente</v>
      </c>
    </row>
    <row r="18">
      <c r="A18" s="1" t="s">
        <v>86</v>
      </c>
      <c r="B18" s="1" t="s">
        <v>66</v>
      </c>
      <c r="C18" s="1" t="s">
        <v>88</v>
      </c>
      <c r="D18" s="4" t="str">
        <f t="shared" si="1"/>
        <v>Responsabilidad | En desarrollo</v>
      </c>
    </row>
    <row r="19">
      <c r="A19" s="1" t="s">
        <v>86</v>
      </c>
      <c r="B19" s="1" t="s">
        <v>68</v>
      </c>
      <c r="C19" s="1" t="s">
        <v>89</v>
      </c>
      <c r="D19" s="4" t="str">
        <f t="shared" si="1"/>
        <v>Responsabilidad | Consolidado</v>
      </c>
    </row>
    <row r="20">
      <c r="A20" s="1" t="s">
        <v>90</v>
      </c>
      <c r="B20" s="1" t="s">
        <v>17</v>
      </c>
      <c r="C20" s="1" t="s">
        <v>91</v>
      </c>
      <c r="D20" s="4" t="str">
        <f t="shared" si="1"/>
        <v>Trabajo en equipo | Incipiente</v>
      </c>
    </row>
    <row r="21">
      <c r="A21" s="1" t="s">
        <v>90</v>
      </c>
      <c r="B21" s="1" t="s">
        <v>66</v>
      </c>
      <c r="C21" s="1" t="s">
        <v>92</v>
      </c>
      <c r="D21" s="4" t="str">
        <f t="shared" si="1"/>
        <v>Trabajo en equipo | En desarrollo</v>
      </c>
    </row>
    <row r="22">
      <c r="A22" s="1" t="s">
        <v>90</v>
      </c>
      <c r="B22" s="1" t="s">
        <v>68</v>
      </c>
      <c r="C22" s="1" t="s">
        <v>93</v>
      </c>
      <c r="D22" s="4" t="str">
        <f t="shared" si="1"/>
        <v>Trabajo en equipo | Consolidado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9</v>
      </c>
    </row>
    <row r="2">
      <c r="A2" s="1" t="s">
        <v>15</v>
      </c>
      <c r="B2" s="1" t="s">
        <v>19</v>
      </c>
    </row>
    <row r="3">
      <c r="A3" s="1" t="s">
        <v>22</v>
      </c>
      <c r="B3" s="1" t="s">
        <v>24</v>
      </c>
    </row>
    <row r="4">
      <c r="A4" s="1" t="s">
        <v>27</v>
      </c>
      <c r="B4" s="1" t="s">
        <v>29</v>
      </c>
    </row>
    <row r="5">
      <c r="A5" s="1" t="s">
        <v>31</v>
      </c>
      <c r="B5" s="1" t="s">
        <v>33</v>
      </c>
    </row>
    <row r="6">
      <c r="A6" s="1" t="s">
        <v>34</v>
      </c>
      <c r="B6" s="1" t="s">
        <v>36</v>
      </c>
    </row>
    <row r="7">
      <c r="A7" s="1" t="s">
        <v>38</v>
      </c>
      <c r="B7" s="1" t="s">
        <v>24</v>
      </c>
    </row>
    <row r="8">
      <c r="A8" s="1" t="s">
        <v>42</v>
      </c>
      <c r="B8" s="1" t="s">
        <v>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16</v>
      </c>
      <c r="J1" s="1" t="s">
        <v>18</v>
      </c>
      <c r="K1" s="1" t="s">
        <v>21</v>
      </c>
      <c r="L1" s="1" t="s">
        <v>23</v>
      </c>
      <c r="M1" s="1" t="s">
        <v>25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35</v>
      </c>
      <c r="S1" s="1" t="s">
        <v>37</v>
      </c>
      <c r="T1" s="1" t="s">
        <v>39</v>
      </c>
      <c r="U1" s="1" t="s">
        <v>40</v>
      </c>
      <c r="V1" s="1" t="s">
        <v>41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</row>
    <row r="2">
      <c r="A2" s="1" t="s">
        <v>51</v>
      </c>
      <c r="B2" s="1" t="s">
        <v>52</v>
      </c>
      <c r="C2" s="1" t="s">
        <v>53</v>
      </c>
      <c r="D2" s="3">
        <v>7.11724248E8</v>
      </c>
      <c r="E2" s="3">
        <v>1.0</v>
      </c>
      <c r="F2" s="3">
        <v>2.0</v>
      </c>
      <c r="G2" s="1" t="s">
        <v>54</v>
      </c>
      <c r="H2" s="1" t="s">
        <v>55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O2" s="1" t="s">
        <v>60</v>
      </c>
      <c r="P2" s="1" t="b">
        <v>1</v>
      </c>
      <c r="Q2" s="3">
        <v>1.0</v>
      </c>
      <c r="R2" s="1" t="b">
        <v>1</v>
      </c>
      <c r="S2" s="1" t="b">
        <v>1</v>
      </c>
      <c r="T2" s="1" t="s">
        <v>61</v>
      </c>
      <c r="X2" s="1" t="b">
        <v>1</v>
      </c>
      <c r="Y2" s="1" t="s">
        <v>62</v>
      </c>
      <c r="Z2" s="1" t="s">
        <v>63</v>
      </c>
      <c r="AA2" s="1" t="b">
        <v>1</v>
      </c>
      <c r="AB2" s="1" t="s">
        <v>64</v>
      </c>
      <c r="AC2" s="1" t="s">
        <v>65</v>
      </c>
    </row>
  </sheetData>
  <drawing r:id="rId1"/>
</worksheet>
</file>